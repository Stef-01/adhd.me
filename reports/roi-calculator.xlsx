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ad8ffc649746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8f6a57dcfa25482d"/>
    <x:sheet xmlns:r="http://schemas.openxmlformats.org/officeDocument/2006/relationships" name="Results" sheetId="2" r:id="R6cb4b4f540a847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$#,##0"/>
    <x:numFmt numFmtId="165" formatCode="0.0"/>
    <x:numFmt numFmtId="166" formatCode="0.0\x"/>
  </x:numFmts>
  <x:fonts count="9">
    <x:font>
      <x:sz val="11"/>
      <x:color theme="1"/>
      <x:name val="Calibri"/>
    </x:font>
    <x:font>
      <x:b/>
      <x:sz val="14"/>
      <x:name val="Arial"/>
    </x:font>
    <x:font>
      <x:i/>
      <x:sz val="9"/>
      <x:name val="Arial"/>
    </x:font>
    <x:font>
      <x:b/>
      <x:color rgb="FFFFFFFF"/>
      <x:name val="Arial"/>
    </x:font>
    <x:font>
      <x:color rgb="FF000000"/>
      <x:name val="Arial"/>
    </x:font>
    <x:font>
      <x:color rgb="FF0000FF"/>
      <x:name val="Arial"/>
    </x:font>
    <x:font>
      <x:sz val="9"/>
      <x:color rgb="FF6B7280"/>
      <x:name val="Arial"/>
    </x:font>
    <x:font>
      <x:b/>
      <x:name val="Arial"/>
    </x:font>
    <x:font>
      <x:i/>
      <x:sz val="9"/>
      <x:color rgb="FF6B728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FFFF00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/>
    <x:xf numFmtId="0" fontId="2" fillId="0" borderId="0" xfId="0"/>
    <x:xf numFmtId="0" fontId="3" fillId="2" borderId="0" xfId="0"/>
    <x:xf numFmtId="0" fontId="4" fillId="0" borderId="0" xfId="0"/>
    <x:xf numFmtId="1" fontId="5" fillId="0" borderId="0" xfId="0"/>
    <x:xf numFmtId="0" fontId="6" fillId="0" borderId="0" xfId="0"/>
    <x:xf numFmtId="9" fontId="4" fillId="3" borderId="0" xfId="0"/>
    <x:xf numFmtId="164" fontId="5" fillId="0" borderId="0" xfId="0"/>
    <x:xf numFmtId="0" fontId="4" fillId="0" borderId="1" xfId="0"/>
    <x:xf numFmtId="165" fontId="4" fillId="0" borderId="1" xfId="0"/>
    <x:xf numFmtId="164" fontId="4" fillId="0" borderId="1" xfId="0"/>
    <x:xf numFmtId="164" fontId="7" fillId="0" borderId="1" xfId="0"/>
    <x:xf numFmtId="166" fontId="7" fillId="0" borderId="1" xfId="0"/>
    <x:xf numFmtId="0" fontId="8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7150b5b9864787" /><Relationship Type="http://schemas.openxmlformats.org/officeDocument/2006/relationships/theme" Target="/xl/theme/theme1.xml" Id="R9667f9711ff64331" /><Relationship Type="http://schemas.openxmlformats.org/officeDocument/2006/relationships/sharedStrings" Target="/xl/sharedStrings.xml" Id="R784e1c30bca34ddc" /><Relationship Type="http://schemas.openxmlformats.org/officeDocument/2006/relationships/worksheet" Target="/xl/worksheets/sheet1.xml" Id="R8f6a57dcfa25482d" /><Relationship Type="http://schemas.openxmlformats.org/officeDocument/2006/relationships/worksheet" Target="/xl/worksheets/sheet2.xml" Id="R6cb4b4f540a8470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14" customWidth="1"/>
    <x:col min="3" max="3" width="34" customWidth="1"/>
  </x:cols>
  <x:sheetData>
    <x:row r="1">
      <x:c r="A1" s="1" t="str">
        <x:v>Meherr ROI calculator — assumptions</x:v>
      </x:c>
    </x:row>
    <x:row r="2">
      <x:c r="A2" s="2" t="inlineStr">
        <x:is>
          <x:t xml:space="preserve">Blue cells are practice levers you can change. Yellow cells are the model's fixed assumptions.</x:t>
        </x:is>
      </x:c>
    </x:row>
    <x:row r="3">
      <x:c r="A3" s="3" t="inlineStr">
        <x:is>
          <x:t xml:space="preserve">Input</x:t>
        </x:is>
      </x:c>
      <x:c r="B3" s="3" t="inlineStr">
        <x:is>
          <x:t xml:space="preserve">Value</x:t>
        </x:is>
      </x:c>
      <x:c r="C3" s="3" t="inlineStr">
        <x:is>
          <x:t xml:space="preserve">Source / note</x:t>
        </x:is>
      </x:c>
    </x:row>
    <x:row r="4">
      <x:c r="A4" s="4" t="inlineStr">
        <x:is>
          <x:t xml:space="preserve">Participating GPs</x:t>
        </x:is>
      </x:c>
      <x:c r="B4" s="5" t="n">
        <x:v>10</x:v>
      </x:c>
      <x:c r="C4" s="6" t="inlineStr">
        <x:is>
          <x:t xml:space="preserve">Practice lever</x:t>
        </x:is>
      </x:c>
    </x:row>
    <x:row r="5">
      <x:c r="A5" s="4" t="inlineStr">
        <x:is>
          <x:t xml:space="preserve">Bookable slots per GP per week</x:t>
        </x:is>
      </x:c>
      <x:c r="B5" s="5" t="n">
        <x:v>120</x:v>
      </x:c>
      <x:c r="C5" s="6" t="inlineStr">
        <x:is>
          <x:t xml:space="preserve">24 slots/day x 5 days (W3)</x:t>
        </x:is>
      </x:c>
    </x:row>
    <x:row r="6">
      <x:c r="A6" s="4" t="inlineStr">
        <x:is>
          <x:t xml:space="preserve">Share of capacity unfilled</x:t>
        </x:is>
      </x:c>
      <x:c r="B6" s="7" t="n">
        <x:v>0.08</x:v>
      </x:c>
      <x:c r="C6" s="6" t="inlineStr">
        <x:is>
          <x:t xml:space="preserve">W3 synthetic calibration</x:t>
        </x:is>
      </x:c>
    </x:row>
    <x:row r="7">
      <x:c r="A7" s="4" t="str">
        <x:v>Share of open slots Meherr fills</x:v>
      </x:c>
      <x:c r="B7" s="7" t="n">
        <x:v>0.25</x:v>
      </x:c>
      <x:c r="C7" s="6" t="inlineStr">
        <x:is>
          <x:t xml:space="preserve">W12 sim response rate</x:t>
        </x:is>
      </x:c>
    </x:row>
    <x:row r="8">
      <x:c r="A8" s="4" t="inlineStr">
        <x:is>
          <x:t xml:space="preserve">Did-not-attend rate on generated bookings</x:t>
        </x:is>
      </x:c>
      <x:c r="B8" s="7" t="n">
        <x:v>0.05</x:v>
      </x:c>
      <x:c r="C8" s="6" t="inlineStr">
        <x:is>
          <x:t xml:space="preserve">W12 sim</x:t>
        </x:is>
      </x:c>
    </x:row>
    <x:row r="9">
      <x:c r="A9" s="4" t="inlineStr">
        <x:is>
          <x:t xml:space="preserve">Share of attended visits that are incremental</x:t>
        </x:is>
      </x:c>
      <x:c r="B9" s="7" t="n">
        <x:v>0.6</x:v>
      </x:c>
      <x:c r="C9" s="6" t="inlineStr">
        <x:is>
          <x:t xml:space="preserve">holdout-adjusted; not displaced</x:t>
        </x:is>
      </x:c>
    </x:row>
    <x:row r="10">
      <x:c r="A10" s="4" t="inlineStr">
        <x:is>
          <x:t xml:space="preserve">Practice billing per attended visit (AUD)</x:t>
        </x:is>
      </x:c>
      <x:c r="B10" s="8" t="n">
        <x:v>80</x:v>
      </x:c>
      <x:c r="C10" s="6" t="inlineStr">
        <x:is>
          <x:t xml:space="preserve">W20 default; practice-set</x:t>
        </x:is>
      </x:c>
    </x:row>
    <x:row r="11">
      <x:c r="A11" s="4" t="str">
        <x:v>Meherr subscription (AUD/month)</x:v>
      </x:c>
      <x:c r="B11" s="8" t="n">
        <x:v>990</x:v>
      </x:c>
      <x:c r="C11" s="6" t="inlineStr">
        <x:is>
          <x:t xml:space="preserve">pricing assumption — finalised W47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customWidth="1"/>
    <x:col min="2" max="2" width="16" customWidth="1"/>
  </x:cols>
  <x:sheetData>
    <x:row r="1">
      <x:c r="A1" s="1" t="inlineStr">
        <x:is>
          <x:t xml:space="preserve">Results</x:t>
        </x:is>
      </x:c>
    </x:row>
    <x:row r="2">
      <x:c r="A2" s="2" t="inlineStr">
        <x:is>
          <x:t xml:space="preserve">Change any blue input on the Assumptions sheet and every figure here recalculates.</x:t>
        </x:is>
      </x:c>
    </x:row>
    <x:row r="3">
      <x:c r="A3" s="3" t="inlineStr">
        <x:is>
          <x:t xml:space="preserve">Measure</x:t>
        </x:is>
      </x:c>
      <x:c r="B3" s="3" t="inlineStr">
        <x:is>
          <x:t xml:space="preserve">Value</x:t>
        </x:is>
      </x:c>
    </x:row>
    <x:row r="4">
      <x:c r="A4" s="9" t="inlineStr">
        <x:is>
          <x:t xml:space="preserve">Unfilled slots per week</x:t>
        </x:is>
      </x:c>
      <x:c r="B4" s="10" t="n">
        <x:f>Assumptions!B4*Assumptions!B5*Assumptions!B6</x:f>
        <x:v>96</x:v>
      </x:c>
    </x:row>
    <x:row r="5">
      <x:c r="A5" s="9" t="inlineStr">
        <x:is>
          <x:t xml:space="preserve">Bookings generated per week</x:t>
        </x:is>
      </x:c>
      <x:c r="B5" s="10" t="n">
        <x:f>B4*Assumptions!B7</x:f>
        <x:v>24</x:v>
      </x:c>
    </x:row>
    <x:row r="6">
      <x:c r="A6" s="9" t="inlineStr">
        <x:is>
          <x:t xml:space="preserve">Attended per week (after DNA)</x:t>
        </x:is>
      </x:c>
      <x:c r="B6" s="10" t="n">
        <x:f>B5*(1-Assumptions!B8)</x:f>
        <x:v>22.799999999999997</x:v>
      </x:c>
    </x:row>
    <x:row r="7">
      <x:c r="A7" s="9" t="inlineStr">
        <x:is>
          <x:t xml:space="preserve">Incremental attended per week</x:t>
        </x:is>
      </x:c>
      <x:c r="B7" s="10" t="n">
        <x:f>B6*Assumptions!B9</x:f>
        <x:v>13.679999999999998</x:v>
      </x:c>
    </x:row>
    <x:row r="8">
      <x:c r="A8" s="9" t="inlineStr">
        <x:is>
          <x:t xml:space="preserve">Incremental revenue per week</x:t>
        </x:is>
      </x:c>
      <x:c r="B8" s="11" t="n">
        <x:f>B7*Assumptions!B10</x:f>
        <x:v>1094.3999999999999</x:v>
      </x:c>
    </x:row>
    <x:row r="9">
      <x:c r="A9" s="9" t="inlineStr">
        <x:is>
          <x:t xml:space="preserve">Incremental visits per year</x:t>
        </x:is>
      </x:c>
      <x:c r="B9" s="10" t="n">
        <x:f>B7*52</x:f>
        <x:v>711.3599999999999</x:v>
      </x:c>
    </x:row>
    <x:row r="10">
      <x:c r="A10" s="9" t="inlineStr">
        <x:is>
          <x:t xml:space="preserve">Incremental revenue per year</x:t>
        </x:is>
      </x:c>
      <x:c r="B10" s="11" t="n">
        <x:f>B8*52</x:f>
        <x:v>56908.799999999996</x:v>
      </x:c>
    </x:row>
    <x:row r="11">
      <x:c r="A11" s="9" t="str">
        <x:v>Meherr cost per year</x:v>
      </x:c>
      <x:c r="B11" s="11" t="n">
        <x:f>Assumptions!B11*12</x:f>
        <x:v>11880</x:v>
      </x:c>
    </x:row>
    <x:row r="12">
      <x:c r="A12" s="9" t="inlineStr">
        <x:is>
          <x:t xml:space="preserve">Net annual benefit</x:t>
        </x:is>
      </x:c>
      <x:c r="B12" s="12" t="n">
        <x:f>B10-B11</x:f>
        <x:v>45028.799999999996</x:v>
      </x:c>
    </x:row>
    <x:row r="13">
      <x:c r="A13" s="9" t="inlineStr">
        <x:is>
          <x:t xml:space="preserve">Return on cost (x)</x:t>
        </x:is>
      </x:c>
      <x:c r="B13" s="13" t="n">
        <x:f>IF(B11=0,0,B10/B11)</x:f>
        <x:v>4.79030303030303</x:v>
      </x:c>
    </x:row>
    <x:row r="15">
      <x:c r="A15" s="14" t="inlineStr">
        <x:is>
          <x:t xml:space="preserve">Revenue is counted on incremental visits only — never the naive generated-booking count.</x:t>
        </x:is>
      </x:c>
    </x:row>
  </x:sheetData>
  <x:pageMargins left="0.7" right="0.7" top="0.75" bottom="0.75" header="0.3" footer="0.3"/>
</x:worksheet>
</file>